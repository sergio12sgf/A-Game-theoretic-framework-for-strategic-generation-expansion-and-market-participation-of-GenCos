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368.CENACE\My Documents\GitHub\Phd-reserch\Articulo 1\Modelo AMPL vJul2025\Python Gurobi\"/>
    </mc:Choice>
  </mc:AlternateContent>
  <xr:revisionPtr revIDLastSave="0" documentId="13_ncr:1_{6C380AF5-F50B-453D-8671-81760773CDBE}" xr6:coauthVersionLast="47" xr6:coauthVersionMax="47" xr10:uidLastSave="{00000000-0000-0000-0000-000000000000}"/>
  <bookViews>
    <workbookView xWindow="-28920" yWindow="945" windowWidth="29040" windowHeight="15720" firstSheet="8" activeTab="9" xr2:uid="{C6AD1CC5-352F-4809-80F2-2D1929E3702E}"/>
  </bookViews>
  <sheets>
    <sheet name="T" sheetId="8" r:id="rId1"/>
    <sheet name="N" sheetId="9" r:id="rId2"/>
    <sheet name="G" sheetId="10" r:id="rId3"/>
    <sheet name="GN" sheetId="11" r:id="rId4"/>
    <sheet name="F" sheetId="12" r:id="rId5"/>
    <sheet name="D" sheetId="13" r:id="rId6"/>
    <sheet name="Br" sheetId="14" r:id="rId7"/>
    <sheet name="Z" sheetId="1" r:id="rId8"/>
    <sheet name="Dat_G" sheetId="2" r:id="rId9"/>
    <sheet name="Dat_GN" sheetId="3" r:id="rId10"/>
    <sheet name="Dat_D" sheetId="4" r:id="rId11"/>
    <sheet name="Dat_Z" sheetId="5" r:id="rId12"/>
    <sheet name="Lim_Br" sheetId="6" r:id="rId13"/>
    <sheet name="Dat_Br" sheetId="7" r:id="rId14"/>
    <sheet name="configParams" sheetId="15" r:id="rId15"/>
  </sheets>
  <definedNames>
    <definedName name="_xlnm._FilterDatabase" localSheetId="8" hidden="1">Dat_G!$A$1:$H$7</definedName>
    <definedName name="_xlnm._FilterDatabase" localSheetId="9" hidden="1">Dat_GN!$A$1:$H$7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G5" i="15"/>
  <c r="G4" i="15"/>
  <c r="H4" i="15"/>
</calcChain>
</file>

<file path=xl/sharedStrings.xml><?xml version="1.0" encoding="utf-8"?>
<sst xmlns="http://schemas.openxmlformats.org/spreadsheetml/2006/main" count="109" uniqueCount="41">
  <si>
    <t>T</t>
  </si>
  <si>
    <t>N</t>
  </si>
  <si>
    <t>G</t>
  </si>
  <si>
    <t>GN</t>
  </si>
  <si>
    <t>F</t>
  </si>
  <si>
    <t>D</t>
  </si>
  <si>
    <t>Br</t>
  </si>
  <si>
    <t>Z</t>
  </si>
  <si>
    <t>G1</t>
  </si>
  <si>
    <t>G2</t>
  </si>
  <si>
    <t>GN1</t>
  </si>
  <si>
    <t>GN2</t>
  </si>
  <si>
    <t>F1</t>
  </si>
  <si>
    <t>F2</t>
  </si>
  <si>
    <t>D1</t>
  </si>
  <si>
    <t>D2</t>
  </si>
  <si>
    <t>D3</t>
  </si>
  <si>
    <t>Br1_1_2</t>
  </si>
  <si>
    <t>Br2_2_3</t>
  </si>
  <si>
    <t>Br3_3_1</t>
  </si>
  <si>
    <t>Zc1</t>
  </si>
  <si>
    <t>ni</t>
  </si>
  <si>
    <t>sig</t>
  </si>
  <si>
    <t>ci</t>
  </si>
  <si>
    <t>g_min</t>
  </si>
  <si>
    <t>g_max</t>
  </si>
  <si>
    <t>nj</t>
  </si>
  <si>
    <t>sigj</t>
  </si>
  <si>
    <t>cj</t>
  </si>
  <si>
    <t>g_Nmax</t>
  </si>
  <si>
    <t>Ij</t>
  </si>
  <si>
    <t>rho</t>
  </si>
  <si>
    <t>psi</t>
  </si>
  <si>
    <t>f_max</t>
  </si>
  <si>
    <t>f_min</t>
  </si>
  <si>
    <t>ptdf</t>
  </si>
  <si>
    <t>Num</t>
  </si>
  <si>
    <t>gamma_f</t>
  </si>
  <si>
    <t>gamma</t>
  </si>
  <si>
    <t>Up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</si>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</sst>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32BE-20C4-4FEF-A7EC-013DDED9EFED}">
  <dimension ref="A1:A4"/>
  <sheetViews>
    <sheetView workbookViewId="0">
      <selection activeCell="D16" sqref="D1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>
        <v>1</v>
      </c>
    </row>
    <row r="3" spans="1:1" x14ac:dyDescent="0.25">
      <c r="A3" s="1">
        <v>2</v>
      </c>
    </row>
    <row r="4" spans="1:1" x14ac:dyDescent="0.25">
      <c r="A4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080D-E6E4-474E-9548-6E8B2C952935}">
  <dimension ref="A1:A4"/>
  <sheetViews>
    <sheetView workbookViewId="0">
      <selection activeCell="K14" sqref="K14"/>
    </sheetView>
  </sheetViews>
  <sheetFormatPr baseColWidth="10" defaultRowHeight="15" x14ac:dyDescent="0.25"/>
  <sheetData>
    <row r="1" spans="1:1" x14ac:dyDescent="0.25">
      <c r="A1" s="1" t="s">
        <v>1</v>
      </c>
    </row>
    <row r="2" spans="1:1" x14ac:dyDescent="0.25">
      <c r="A2" s="1">
        <v>1</v>
      </c>
    </row>
    <row r="3" spans="1:1" x14ac:dyDescent="0.25">
      <c r="A3" s="1">
        <v>2</v>
      </c>
    </row>
    <row r="4" spans="1:1" x14ac:dyDescent="0.25">
      <c r="A4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A560-00E5-43D7-9B60-6CFADBE46F04}">
  <dimension ref="A1:A4"/>
  <sheetViews>
    <sheetView workbookViewId="0">
      <selection activeCell="I12" sqref="I12"/>
    </sheetView>
  </sheetViews>
  <sheetFormatPr baseColWidth="10" defaultRowHeight="15" x14ac:dyDescent="0.25"/>
  <sheetData>
    <row r="1" spans="1:1" x14ac:dyDescent="0.25">
      <c r="A1" s="1" t="s">
        <v>2</v>
      </c>
    </row>
    <row r="2" spans="1:1" x14ac:dyDescent="0.25">
      <c r="A2" s="1" t="s">
        <v>8</v>
      </c>
    </row>
    <row r="3" spans="1:1" x14ac:dyDescent="0.25">
      <c r="A3" s="1" t="s">
        <v>9</v>
      </c>
    </row>
    <row r="4" spans="1:1" x14ac:dyDescent="0.25">
      <c r="A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994B-25E5-49A3-A2E7-05B37EF5FA0A}">
  <dimension ref="A1:A4"/>
  <sheetViews>
    <sheetView workbookViewId="0">
      <selection activeCell="G9" sqref="G9"/>
    </sheetView>
  </sheetViews>
  <sheetFormatPr baseColWidth="10" defaultRowHeight="15" x14ac:dyDescent="0.25"/>
  <sheetData>
    <row r="1" spans="1:1" x14ac:dyDescent="0.25">
      <c r="A1" s="1" t="s">
        <v>3</v>
      </c>
    </row>
    <row r="2" spans="1:1" x14ac:dyDescent="0.25">
      <c r="A2" s="1" t="s">
        <v>10</v>
      </c>
    </row>
    <row r="3" spans="1:1" x14ac:dyDescent="0.25">
      <c r="A3" s="1" t="s">
        <v>11</v>
      </c>
    </row>
    <row r="4" spans="1:1" x14ac:dyDescent="0.25">
      <c r="A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9E0A-5B4E-45CC-B219-DF6041E63851}">
  <dimension ref="A1:A4"/>
  <sheetViews>
    <sheetView workbookViewId="0">
      <selection activeCell="H11" sqref="H11"/>
    </sheetView>
  </sheetViews>
  <sheetFormatPr baseColWidth="10" defaultRowHeight="15" x14ac:dyDescent="0.25"/>
  <sheetData>
    <row r="1" spans="1:1" x14ac:dyDescent="0.25">
      <c r="A1" s="1" t="s">
        <v>4</v>
      </c>
    </row>
    <row r="2" spans="1:1" x14ac:dyDescent="0.25">
      <c r="A2" s="1" t="s">
        <v>12</v>
      </c>
    </row>
    <row r="3" spans="1:1" x14ac:dyDescent="0.25">
      <c r="A3" s="1" t="s">
        <v>13</v>
      </c>
    </row>
    <row r="4" spans="1:1" x14ac:dyDescent="0.25">
      <c r="A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9FDA-860D-4BD1-8429-7CFDC84BF7F3}">
  <dimension ref="A1:A4"/>
  <sheetViews>
    <sheetView workbookViewId="0">
      <selection activeCell="G13" sqref="G13"/>
    </sheetView>
  </sheetViews>
  <sheetFormatPr baseColWidth="10" defaultRowHeight="15" x14ac:dyDescent="0.25"/>
  <sheetData>
    <row r="1" spans="1:1" x14ac:dyDescent="0.25">
      <c r="A1" s="1" t="s">
        <v>5</v>
      </c>
    </row>
    <row r="2" spans="1:1" x14ac:dyDescent="0.25">
      <c r="A2" s="1" t="s">
        <v>14</v>
      </c>
    </row>
    <row r="3" spans="1:1" x14ac:dyDescent="0.25">
      <c r="A3" s="1" t="s">
        <v>15</v>
      </c>
    </row>
    <row r="4" spans="1:1" x14ac:dyDescent="0.25">
      <c r="A4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DDD5-41D5-4B36-A427-F84A5123885B}">
  <dimension ref="A1:A4"/>
  <sheetViews>
    <sheetView workbookViewId="0">
      <selection activeCell="E8" sqref="E8"/>
    </sheetView>
  </sheetViews>
  <sheetFormatPr baseColWidth="10" defaultRowHeight="15" x14ac:dyDescent="0.25"/>
  <sheetData>
    <row r="1" spans="1:1" x14ac:dyDescent="0.25">
      <c r="A1" s="1" t="s">
        <v>6</v>
      </c>
    </row>
    <row r="2" spans="1:1" x14ac:dyDescent="0.25">
      <c r="A2" s="1" t="s">
        <v>17</v>
      </c>
    </row>
    <row r="3" spans="1:1" x14ac:dyDescent="0.25">
      <c r="A3" s="1" t="s">
        <v>18</v>
      </c>
    </row>
    <row r="4" spans="1:1" x14ac:dyDescent="0.25">
      <c r="A4" s="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9F99-AD7A-4D22-ADDE-85D90E85D2B1}">
  <dimension ref="A1:A2"/>
  <sheetViews>
    <sheetView workbookViewId="0">
      <selection activeCell="I9" sqref="I9"/>
    </sheetView>
  </sheetViews>
  <sheetFormatPr baseColWidth="10" defaultRowHeight="15" x14ac:dyDescent="0.25"/>
  <sheetData>
    <row r="1" spans="1:1" x14ac:dyDescent="0.25">
      <c r="A1" s="1" t="s">
        <v>7</v>
      </c>
    </row>
    <row r="2" spans="1:1" x14ac:dyDescent="0.25">
      <c r="A2" s="1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3AAB-C214-4301-B414-75E3E8F91B14}">
  <dimension ref="A1:H8"/>
  <sheetViews>
    <sheetView workbookViewId="0">
      <selection activeCell="H2" sqref="H2:H3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4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s="1">
        <v>1</v>
      </c>
      <c r="B2" s="1" t="s">
        <v>12</v>
      </c>
      <c r="C2" s="1" t="s">
        <v>8</v>
      </c>
      <c r="D2" s="1">
        <v>1</v>
      </c>
      <c r="E2" s="1">
        <v>8760</v>
      </c>
      <c r="F2" s="1">
        <v>25</v>
      </c>
      <c r="G2" s="1">
        <v>50</v>
      </c>
      <c r="H2" s="1">
        <v>120</v>
      </c>
    </row>
    <row r="3" spans="1:8" x14ac:dyDescent="0.25">
      <c r="A3" s="1">
        <v>1</v>
      </c>
      <c r="B3" s="1" t="s">
        <v>13</v>
      </c>
      <c r="C3" s="1" t="s">
        <v>9</v>
      </c>
      <c r="D3" s="1">
        <v>2</v>
      </c>
      <c r="E3" s="1">
        <v>8760</v>
      </c>
      <c r="F3" s="1">
        <v>18</v>
      </c>
      <c r="G3" s="1">
        <v>25</v>
      </c>
      <c r="H3" s="1">
        <v>95</v>
      </c>
    </row>
    <row r="4" spans="1:8" x14ac:dyDescent="0.25">
      <c r="A4" s="1">
        <v>2</v>
      </c>
      <c r="B4" s="1" t="s">
        <v>12</v>
      </c>
      <c r="C4" s="1" t="s">
        <v>8</v>
      </c>
      <c r="D4" s="1">
        <v>1</v>
      </c>
      <c r="E4" s="1">
        <v>8760</v>
      </c>
      <c r="F4" s="1">
        <v>25</v>
      </c>
      <c r="G4" s="1">
        <v>50</v>
      </c>
      <c r="H4" s="1">
        <v>120</v>
      </c>
    </row>
    <row r="5" spans="1:8" x14ac:dyDescent="0.25">
      <c r="A5" s="1">
        <v>2</v>
      </c>
      <c r="B5" s="1" t="s">
        <v>13</v>
      </c>
      <c r="C5" s="1" t="s">
        <v>9</v>
      </c>
      <c r="D5" s="1">
        <v>2</v>
      </c>
      <c r="E5" s="1">
        <v>8760</v>
      </c>
      <c r="F5" s="1">
        <v>18</v>
      </c>
      <c r="G5" s="1">
        <v>25</v>
      </c>
      <c r="H5" s="1">
        <v>95</v>
      </c>
    </row>
    <row r="6" spans="1:8" x14ac:dyDescent="0.25">
      <c r="A6" s="1">
        <v>3</v>
      </c>
      <c r="B6" s="1" t="s">
        <v>12</v>
      </c>
      <c r="C6" s="1" t="s">
        <v>8</v>
      </c>
      <c r="D6" s="1">
        <v>1</v>
      </c>
      <c r="E6" s="1">
        <v>8760</v>
      </c>
      <c r="F6" s="1">
        <v>25</v>
      </c>
      <c r="G6" s="1">
        <v>50</v>
      </c>
      <c r="H6" s="1">
        <v>120</v>
      </c>
    </row>
    <row r="7" spans="1:8" x14ac:dyDescent="0.25">
      <c r="A7" s="1">
        <v>3</v>
      </c>
      <c r="B7" s="1" t="s">
        <v>13</v>
      </c>
      <c r="C7" s="1" t="s">
        <v>9</v>
      </c>
      <c r="D7" s="1">
        <v>2</v>
      </c>
      <c r="E7" s="1">
        <v>8760</v>
      </c>
      <c r="F7" s="1">
        <v>18</v>
      </c>
      <c r="G7" s="1">
        <v>25</v>
      </c>
      <c r="H7" s="1">
        <v>95</v>
      </c>
    </row>
    <row r="8" spans="1:8" x14ac:dyDescent="0.25">
      <c r="H8" s="3"/>
    </row>
  </sheetData>
  <autoFilter ref="A1:H7" xr:uid="{E0113AAB-C214-4301-B414-75E3E8F91B1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0D20-3095-4EEA-B98A-5DD5B97344BA}">
  <dimension ref="A1:K7"/>
  <sheetViews>
    <sheetView tabSelected="1" workbookViewId="0">
      <selection activeCell="F8" sqref="F8"/>
    </sheetView>
  </sheetViews>
  <sheetFormatPr baseColWidth="10" defaultRowHeight="15" x14ac:dyDescent="0.25"/>
  <sheetData>
    <row r="1" spans="1:11" x14ac:dyDescent="0.25">
      <c r="A1" s="1" t="s">
        <v>0</v>
      </c>
      <c r="B1" s="1" t="s">
        <v>4</v>
      </c>
      <c r="C1" s="1" t="s">
        <v>3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11" x14ac:dyDescent="0.25">
      <c r="A2" s="1">
        <v>1</v>
      </c>
      <c r="B2" s="1" t="s">
        <v>12</v>
      </c>
      <c r="C2" s="1" t="s">
        <v>10</v>
      </c>
      <c r="D2" s="1">
        <v>3</v>
      </c>
      <c r="E2" s="1">
        <v>6350</v>
      </c>
      <c r="F2" s="1">
        <v>7</v>
      </c>
      <c r="G2" s="1">
        <v>50</v>
      </c>
      <c r="H2" s="1">
        <v>60000</v>
      </c>
      <c r="K2">
        <f>H2/8760</f>
        <v>6.8493150684931505</v>
      </c>
    </row>
    <row r="3" spans="1:11" x14ac:dyDescent="0.25">
      <c r="A3" s="1">
        <v>1</v>
      </c>
      <c r="B3" s="1" t="s">
        <v>13</v>
      </c>
      <c r="C3" s="1" t="s">
        <v>11</v>
      </c>
      <c r="D3" s="1">
        <v>2</v>
      </c>
      <c r="E3" s="1">
        <v>4250</v>
      </c>
      <c r="F3" s="1">
        <v>6</v>
      </c>
      <c r="G3" s="1">
        <v>75</v>
      </c>
      <c r="H3" s="1">
        <v>75000</v>
      </c>
    </row>
    <row r="4" spans="1:11" x14ac:dyDescent="0.25">
      <c r="A4" s="1">
        <v>2</v>
      </c>
      <c r="B4" s="1" t="s">
        <v>12</v>
      </c>
      <c r="C4" s="1" t="s">
        <v>10</v>
      </c>
      <c r="D4" s="1">
        <v>3</v>
      </c>
      <c r="E4" s="1">
        <v>6350</v>
      </c>
      <c r="F4" s="1">
        <v>7</v>
      </c>
      <c r="G4" s="1">
        <v>50</v>
      </c>
      <c r="H4" s="1">
        <v>60000</v>
      </c>
    </row>
    <row r="5" spans="1:11" x14ac:dyDescent="0.25">
      <c r="A5" s="1">
        <v>2</v>
      </c>
      <c r="B5" s="1" t="s">
        <v>13</v>
      </c>
      <c r="C5" s="1" t="s">
        <v>11</v>
      </c>
      <c r="D5" s="1">
        <v>2</v>
      </c>
      <c r="E5" s="1">
        <v>4250</v>
      </c>
      <c r="F5" s="1">
        <v>6</v>
      </c>
      <c r="G5" s="1">
        <v>75</v>
      </c>
      <c r="H5" s="1">
        <v>75000</v>
      </c>
    </row>
    <row r="6" spans="1:11" x14ac:dyDescent="0.25">
      <c r="A6" s="1">
        <v>3</v>
      </c>
      <c r="B6" s="1" t="s">
        <v>12</v>
      </c>
      <c r="C6" s="1" t="s">
        <v>10</v>
      </c>
      <c r="D6" s="1">
        <v>3</v>
      </c>
      <c r="E6" s="1">
        <v>6350</v>
      </c>
      <c r="F6" s="1">
        <v>7</v>
      </c>
      <c r="G6" s="1">
        <v>50</v>
      </c>
      <c r="H6" s="1">
        <v>60000</v>
      </c>
    </row>
    <row r="7" spans="1:11" x14ac:dyDescent="0.25">
      <c r="A7" s="1">
        <v>3</v>
      </c>
      <c r="B7" s="1" t="s">
        <v>13</v>
      </c>
      <c r="C7" s="1" t="s">
        <v>11</v>
      </c>
      <c r="D7" s="1">
        <v>2</v>
      </c>
      <c r="E7" s="1">
        <v>4250</v>
      </c>
      <c r="F7" s="1">
        <v>6</v>
      </c>
      <c r="G7" s="1">
        <v>75</v>
      </c>
      <c r="H7" s="1">
        <v>75000</v>
      </c>
    </row>
  </sheetData>
  <autoFilter ref="A1:H7" xr:uid="{12270D20-3095-4EEA-B98A-5DD5B97344BA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D217-2A5B-450B-9CBE-932971246998}">
  <dimension ref="A1:B4"/>
  <sheetViews>
    <sheetView workbookViewId="0">
      <selection activeCell="B5" sqref="B5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40</v>
      </c>
    </row>
    <row r="2" spans="1:2" x14ac:dyDescent="0.25">
      <c r="A2" s="1">
        <v>1</v>
      </c>
      <c r="B2" s="1">
        <v>212</v>
      </c>
    </row>
    <row r="3" spans="1:2" x14ac:dyDescent="0.25">
      <c r="A3" s="1">
        <v>2</v>
      </c>
      <c r="B3" s="1">
        <v>240</v>
      </c>
    </row>
    <row r="4" spans="1:2" x14ac:dyDescent="0.25">
      <c r="A4" s="1">
        <v>3</v>
      </c>
      <c r="B4" s="1">
        <v>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DB80-DD42-4CE1-97D8-9DDFDB3556D4}">
  <dimension ref="A1:D4"/>
  <sheetViews>
    <sheetView workbookViewId="0">
      <selection activeCell="H17" sqref="H17"/>
    </sheetView>
  </sheetViews>
  <sheetFormatPr baseColWidth="10" defaultRowHeight="15" x14ac:dyDescent="0.25"/>
  <sheetData>
    <row r="1" spans="1:4" x14ac:dyDescent="0.25">
      <c r="A1" s="1" t="s">
        <v>7</v>
      </c>
      <c r="B1" s="1" t="s">
        <v>1</v>
      </c>
      <c r="C1" s="1" t="s">
        <v>31</v>
      </c>
      <c r="D1" s="1" t="s">
        <v>32</v>
      </c>
    </row>
    <row r="2" spans="1:4" x14ac:dyDescent="0.25">
      <c r="A2" s="1" t="s">
        <v>20</v>
      </c>
      <c r="B2" s="1">
        <v>1</v>
      </c>
      <c r="C2" s="1">
        <v>1</v>
      </c>
      <c r="D2" s="1">
        <v>0.3</v>
      </c>
    </row>
    <row r="3" spans="1:4" x14ac:dyDescent="0.25">
      <c r="A3" s="1" t="s">
        <v>20</v>
      </c>
      <c r="B3" s="1">
        <v>2</v>
      </c>
      <c r="C3" s="1">
        <v>1</v>
      </c>
      <c r="D3" s="1">
        <v>0.25</v>
      </c>
    </row>
    <row r="4" spans="1:4" x14ac:dyDescent="0.25">
      <c r="A4" s="1" t="s">
        <v>20</v>
      </c>
      <c r="B4" s="1">
        <v>3</v>
      </c>
      <c r="C4" s="1">
        <v>1</v>
      </c>
      <c r="D4" s="1">
        <v>0.45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E4D2-1DEC-436C-863A-E86524CB13C0}">
  <dimension ref="A1:I21"/>
  <sheetViews>
    <sheetView workbookViewId="0">
      <selection activeCell="I21" sqref="I21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6</v>
      </c>
      <c r="C1" s="1" t="s">
        <v>33</v>
      </c>
      <c r="D1" s="1" t="s">
        <v>34</v>
      </c>
    </row>
    <row r="2" spans="1:4" x14ac:dyDescent="0.25">
      <c r="A2" s="1">
        <v>1</v>
      </c>
      <c r="B2" s="1" t="s">
        <v>17</v>
      </c>
      <c r="C2" s="1">
        <v>200</v>
      </c>
      <c r="D2" s="1">
        <v>-200</v>
      </c>
    </row>
    <row r="3" spans="1:4" x14ac:dyDescent="0.25">
      <c r="A3" s="1">
        <v>1</v>
      </c>
      <c r="B3" s="1" t="s">
        <v>18</v>
      </c>
      <c r="C3" s="1">
        <v>200</v>
      </c>
      <c r="D3" s="1">
        <v>-200</v>
      </c>
    </row>
    <row r="4" spans="1:4" x14ac:dyDescent="0.25">
      <c r="A4" s="1">
        <v>1</v>
      </c>
      <c r="B4" s="1" t="s">
        <v>19</v>
      </c>
      <c r="C4" s="1">
        <v>200</v>
      </c>
      <c r="D4" s="1">
        <v>-200</v>
      </c>
    </row>
    <row r="5" spans="1:4" x14ac:dyDescent="0.25">
      <c r="A5" s="1">
        <v>2</v>
      </c>
      <c r="B5" s="1" t="s">
        <v>17</v>
      </c>
      <c r="C5" s="1">
        <v>200</v>
      </c>
      <c r="D5" s="1">
        <v>-200</v>
      </c>
    </row>
    <row r="6" spans="1:4" x14ac:dyDescent="0.25">
      <c r="A6" s="1">
        <v>2</v>
      </c>
      <c r="B6" s="1" t="s">
        <v>18</v>
      </c>
      <c r="C6" s="1">
        <v>200</v>
      </c>
      <c r="D6" s="1">
        <v>-200</v>
      </c>
    </row>
    <row r="7" spans="1:4" x14ac:dyDescent="0.25">
      <c r="A7" s="1">
        <v>2</v>
      </c>
      <c r="B7" s="1" t="s">
        <v>19</v>
      </c>
      <c r="C7" s="1">
        <v>200</v>
      </c>
      <c r="D7" s="1">
        <v>-200</v>
      </c>
    </row>
    <row r="8" spans="1:4" x14ac:dyDescent="0.25">
      <c r="A8" s="1">
        <v>3</v>
      </c>
      <c r="B8" s="1" t="s">
        <v>17</v>
      </c>
      <c r="C8" s="1">
        <v>200</v>
      </c>
      <c r="D8" s="1">
        <v>-200</v>
      </c>
    </row>
    <row r="9" spans="1:4" x14ac:dyDescent="0.25">
      <c r="A9" s="1">
        <v>3</v>
      </c>
      <c r="B9" s="1" t="s">
        <v>18</v>
      </c>
      <c r="C9" s="1">
        <v>200</v>
      </c>
      <c r="D9" s="1">
        <v>-200</v>
      </c>
    </row>
    <row r="10" spans="1:4" x14ac:dyDescent="0.25">
      <c r="A10" s="1">
        <v>3</v>
      </c>
      <c r="B10" s="1" t="s">
        <v>19</v>
      </c>
      <c r="C10" s="1">
        <v>200</v>
      </c>
      <c r="D10" s="1">
        <v>-200</v>
      </c>
    </row>
    <row r="21" spans="9:9" x14ac:dyDescent="0.25">
      <c r="I21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7AD5-3CE1-4560-BF96-236AAC6E126B}">
  <dimension ref="A1:D19"/>
  <sheetViews>
    <sheetView topLeftCell="A6" workbookViewId="0">
      <selection activeCell="F13" sqref="F13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6</v>
      </c>
      <c r="C1" s="1" t="s">
        <v>1</v>
      </c>
      <c r="D1" s="1" t="s">
        <v>35</v>
      </c>
    </row>
    <row r="2" spans="1:4" x14ac:dyDescent="0.25">
      <c r="A2" s="1">
        <v>1</v>
      </c>
      <c r="B2" s="1" t="s">
        <v>17</v>
      </c>
      <c r="C2" s="1">
        <v>2</v>
      </c>
      <c r="D2" s="1">
        <v>-0.66669999999999996</v>
      </c>
    </row>
    <row r="3" spans="1:4" x14ac:dyDescent="0.25">
      <c r="A3" s="1">
        <v>1</v>
      </c>
      <c r="B3" s="1" t="s">
        <v>18</v>
      </c>
      <c r="C3" s="1">
        <v>2</v>
      </c>
      <c r="D3" s="1">
        <v>0.33329999999999999</v>
      </c>
    </row>
    <row r="4" spans="1:4" x14ac:dyDescent="0.25">
      <c r="A4" s="1">
        <v>1</v>
      </c>
      <c r="B4" s="1" t="s">
        <v>19</v>
      </c>
      <c r="C4" s="1">
        <v>2</v>
      </c>
      <c r="D4" s="1">
        <v>0.33329999999999999</v>
      </c>
    </row>
    <row r="5" spans="1:4" x14ac:dyDescent="0.25">
      <c r="A5" s="1">
        <v>1</v>
      </c>
      <c r="B5" s="1" t="s">
        <v>17</v>
      </c>
      <c r="C5" s="1">
        <v>3</v>
      </c>
      <c r="D5" s="1">
        <v>-0.33329999999999999</v>
      </c>
    </row>
    <row r="6" spans="1:4" x14ac:dyDescent="0.25">
      <c r="A6" s="1">
        <v>1</v>
      </c>
      <c r="B6" s="1" t="s">
        <v>18</v>
      </c>
      <c r="C6" s="1">
        <v>3</v>
      </c>
      <c r="D6" s="1">
        <v>-0.33329999999999999</v>
      </c>
    </row>
    <row r="7" spans="1:4" x14ac:dyDescent="0.25">
      <c r="A7" s="1">
        <v>1</v>
      </c>
      <c r="B7" s="1" t="s">
        <v>19</v>
      </c>
      <c r="C7" s="1">
        <v>3</v>
      </c>
      <c r="D7" s="1">
        <v>0.66669999999999996</v>
      </c>
    </row>
    <row r="8" spans="1:4" x14ac:dyDescent="0.25">
      <c r="A8" s="1">
        <v>2</v>
      </c>
      <c r="B8" s="1" t="s">
        <v>17</v>
      </c>
      <c r="C8" s="1">
        <v>2</v>
      </c>
      <c r="D8" s="1">
        <v>-0.66669999999999996</v>
      </c>
    </row>
    <row r="9" spans="1:4" x14ac:dyDescent="0.25">
      <c r="A9" s="1">
        <v>2</v>
      </c>
      <c r="B9" s="1" t="s">
        <v>18</v>
      </c>
      <c r="C9" s="1">
        <v>2</v>
      </c>
      <c r="D9" s="1">
        <v>0.33329999999999999</v>
      </c>
    </row>
    <row r="10" spans="1:4" x14ac:dyDescent="0.25">
      <c r="A10" s="1">
        <v>2</v>
      </c>
      <c r="B10" s="1" t="s">
        <v>19</v>
      </c>
      <c r="C10" s="1">
        <v>2</v>
      </c>
      <c r="D10" s="1">
        <v>0.33329999999999999</v>
      </c>
    </row>
    <row r="11" spans="1:4" x14ac:dyDescent="0.25">
      <c r="A11" s="1">
        <v>2</v>
      </c>
      <c r="B11" s="1" t="s">
        <v>17</v>
      </c>
      <c r="C11" s="1">
        <v>3</v>
      </c>
      <c r="D11" s="1">
        <v>-0.33329999999999999</v>
      </c>
    </row>
    <row r="12" spans="1:4" x14ac:dyDescent="0.25">
      <c r="A12" s="1">
        <v>2</v>
      </c>
      <c r="B12" s="1" t="s">
        <v>18</v>
      </c>
      <c r="C12" s="1">
        <v>3</v>
      </c>
      <c r="D12" s="1">
        <v>-0.33329999999999999</v>
      </c>
    </row>
    <row r="13" spans="1:4" x14ac:dyDescent="0.25">
      <c r="A13" s="1">
        <v>2</v>
      </c>
      <c r="B13" s="1" t="s">
        <v>19</v>
      </c>
      <c r="C13" s="1">
        <v>3</v>
      </c>
      <c r="D13" s="1">
        <v>0.66669999999999996</v>
      </c>
    </row>
    <row r="14" spans="1:4" x14ac:dyDescent="0.25">
      <c r="A14" s="1">
        <v>3</v>
      </c>
      <c r="B14" s="1" t="s">
        <v>17</v>
      </c>
      <c r="C14" s="1">
        <v>2</v>
      </c>
      <c r="D14" s="1">
        <v>-0.66669999999999996</v>
      </c>
    </row>
    <row r="15" spans="1:4" x14ac:dyDescent="0.25">
      <c r="A15" s="1">
        <v>3</v>
      </c>
      <c r="B15" s="1" t="s">
        <v>18</v>
      </c>
      <c r="C15" s="1">
        <v>2</v>
      </c>
      <c r="D15" s="1">
        <v>0.33329999999999999</v>
      </c>
    </row>
    <row r="16" spans="1:4" x14ac:dyDescent="0.25">
      <c r="A16" s="1">
        <v>3</v>
      </c>
      <c r="B16" s="1" t="s">
        <v>19</v>
      </c>
      <c r="C16" s="1">
        <v>2</v>
      </c>
      <c r="D16" s="1">
        <v>0.33329999999999999</v>
      </c>
    </row>
    <row r="17" spans="1:4" x14ac:dyDescent="0.25">
      <c r="A17" s="1">
        <v>3</v>
      </c>
      <c r="B17" s="1" t="s">
        <v>17</v>
      </c>
      <c r="C17" s="1">
        <v>3</v>
      </c>
      <c r="D17" s="1">
        <v>-0.33329999999999999</v>
      </c>
    </row>
    <row r="18" spans="1:4" x14ac:dyDescent="0.25">
      <c r="A18" s="1">
        <v>3</v>
      </c>
      <c r="B18" s="1" t="s">
        <v>18</v>
      </c>
      <c r="C18" s="1">
        <v>3</v>
      </c>
      <c r="D18" s="1">
        <v>-0.33329999999999999</v>
      </c>
    </row>
    <row r="19" spans="1:4" x14ac:dyDescent="0.25">
      <c r="A19" s="1">
        <v>3</v>
      </c>
      <c r="B19" s="1" t="s">
        <v>19</v>
      </c>
      <c r="C19" s="1">
        <v>3</v>
      </c>
      <c r="D19" s="1">
        <v>0.66669999999999996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F302-7EB2-482C-9404-C7AB453E48F9}">
  <dimension ref="A1:I7"/>
  <sheetViews>
    <sheetView workbookViewId="0">
      <selection activeCell="B3" sqref="B3"/>
    </sheetView>
  </sheetViews>
  <sheetFormatPr baseColWidth="10" defaultRowHeight="15" x14ac:dyDescent="0.25"/>
  <cols>
    <col min="1" max="4" width="11.42578125" style="1"/>
  </cols>
  <sheetData>
    <row r="1" spans="1:9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9" x14ac:dyDescent="0.25">
      <c r="A2" s="1">
        <v>1</v>
      </c>
      <c r="B2">
        <v>490000</v>
      </c>
      <c r="C2">
        <v>312000</v>
      </c>
      <c r="D2" s="3">
        <v>612200</v>
      </c>
    </row>
    <row r="4" spans="1:9" x14ac:dyDescent="0.25">
      <c r="E4" s="3"/>
      <c r="G4" s="2">
        <f>C2/8760</f>
        <v>35.61643835616438</v>
      </c>
      <c r="H4">
        <f>C2/8760</f>
        <v>35.61643835616438</v>
      </c>
    </row>
    <row r="5" spans="1:9" x14ac:dyDescent="0.25">
      <c r="G5">
        <f>90*8760</f>
        <v>788400</v>
      </c>
    </row>
    <row r="7" spans="1:9" x14ac:dyDescent="0.25">
      <c r="I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</vt:lpstr>
      <vt:lpstr>N</vt:lpstr>
      <vt:lpstr>G</vt:lpstr>
      <vt:lpstr>GN</vt:lpstr>
      <vt:lpstr>F</vt:lpstr>
      <vt:lpstr>D</vt:lpstr>
      <vt:lpstr>Br</vt:lpstr>
      <vt:lpstr>Z</vt:lpstr>
      <vt:lpstr>Dat_G</vt:lpstr>
      <vt:lpstr>Dat_GN</vt:lpstr>
      <vt:lpstr>Dat_D</vt:lpstr>
      <vt:lpstr>Dat_Z</vt:lpstr>
      <vt:lpstr>Lim_Br</vt:lpstr>
      <vt:lpstr>Dat_Br</vt:lpstr>
      <vt:lpstr>configParams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Alejandro Godinez Fernandez</dc:creator>
  <cp:lastModifiedBy>Sergio Alejandro Godinez Fernandez</cp:lastModifiedBy>
  <dcterms:created xsi:type="dcterms:W3CDTF">2025-08-01T20:31:41Z</dcterms:created>
  <dcterms:modified xsi:type="dcterms:W3CDTF">2025-11-24T17:02:24Z</dcterms:modified>
</cp:coreProperties>
</file>